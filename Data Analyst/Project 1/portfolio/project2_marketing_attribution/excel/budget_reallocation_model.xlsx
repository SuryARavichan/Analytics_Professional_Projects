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ribution by Model" sheetId="1" state="visible" r:id="rId3"/>
    <sheet name="Current State" sheetId="2" state="visible" r:id="rId4"/>
    <sheet name="Budget What-If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Editable assumption: when spend on a channel increases, each incremental dollar is assumed to return only this fraction of the current ROAS (diminishing returns / market saturation). 1.00 = no diminishing returns.</t>
        </r>
      </text>
    </comment>
  </commentList>
</comments>
</file>

<file path=xl/sharedStrings.xml><?xml version="1.0" encoding="utf-8"?>
<sst xmlns="http://schemas.openxmlformats.org/spreadsheetml/2006/main" count="62" uniqueCount="49">
  <si>
    <t xml:space="preserve">Multi-Touch Attribution — Revenue Credit by Model</t>
  </si>
  <si>
    <t xml:space="preserve">Source: sql/02_attribution_models.sql, run against data/marketing.db (touchpoints table, 9,000 user journeys)</t>
  </si>
  <si>
    <t xml:space="preserve">Channel</t>
  </si>
  <si>
    <t xml:space="preserve">First Touch ($)</t>
  </si>
  <si>
    <t xml:space="preserve">Last Touch ($)</t>
  </si>
  <si>
    <t xml:space="preserve">Linear ($)</t>
  </si>
  <si>
    <t xml:space="preserve">Position-Based ($)</t>
  </si>
  <si>
    <t xml:space="preserve">Paid Search</t>
  </si>
  <si>
    <t xml:space="preserve">Organic Search</t>
  </si>
  <si>
    <t xml:space="preserve">Email</t>
  </si>
  <si>
    <t xml:space="preserve">Referral</t>
  </si>
  <si>
    <t xml:space="preserve">Paid Social</t>
  </si>
  <si>
    <t xml:space="preserve">Total</t>
  </si>
  <si>
    <t xml:space="preserve">Note: attribution model choice materially changes channel rank. Paid Social ranks 5th (last) under Last Touch but 2nd under First Touch — it plays an early-funnel assist role that last-touch credit erases entirely.</t>
  </si>
  <si>
    <t xml:space="preserve">6-Month Spend vs. Linear-Attributed ROAS (Oct 2025 – Mar 2026)</t>
  </si>
  <si>
    <t xml:space="preserve">Source: sql/03_channel_roas.sql — total spend from channel_spend table, revenue from linear attribution model, both over the same 6-month window</t>
  </si>
  <si>
    <t xml:space="preserve">6-Month Spend ($)</t>
  </si>
  <si>
    <t xml:space="preserve">Linear Attributed Revenue ($)</t>
  </si>
  <si>
    <t xml:space="preserve">ROAS (Revenue / Spend)</t>
  </si>
  <si>
    <t xml:space="preserve">Total / Blended</t>
  </si>
  <si>
    <t xml:space="preserve">Budget Reallocation What-If Model</t>
  </si>
  <si>
    <t xml:space="preserve">Edit the yellow % Reallocation cells (column C). Total budget is held constant — reallocating from one channel funds another.</t>
  </si>
  <si>
    <t xml:space="preserve">Assumptions</t>
  </si>
  <si>
    <t xml:space="preserve">Diminishing-returns elasticity factor (applied when a channel's spend increases)</t>
  </si>
  <si>
    <t xml:space="preserve">Current 6-Mo Spend ($)</t>
  </si>
  <si>
    <t xml:space="preserve">% Reallocation</t>
  </si>
  <si>
    <t xml:space="preserve">New Spend ($)</t>
  </si>
  <si>
    <t xml:space="preserve">Current ROAS</t>
  </si>
  <si>
    <t xml:space="preserve">Effective ROAS</t>
  </si>
  <si>
    <t xml:space="preserve">Projected Revenue ($)</t>
  </si>
  <si>
    <t xml:space="preserve">Revenue Δ vs. Current ($)</t>
  </si>
  <si>
    <t xml:space="preserve">Budget-neutral check (New Total Spend − Current Total Spend):</t>
  </si>
  <si>
    <t xml:space="preserve">Net projected revenue impact of this reallocation:</t>
  </si>
  <si>
    <t xml:space="preserve">How to Use This Workbook</t>
  </si>
  <si>
    <t xml:space="preserve">This model translates the multi-touch attribution &amp; ROAS findings from the SQL/Python</t>
  </si>
  <si>
    <t xml:space="preserve">analysis (see /notebook/analysis.ipynb) into an interactive budget-reallocation tool.</t>
  </si>
  <si>
    <t xml:space="preserve">Sheet guide:</t>
  </si>
  <si>
    <t xml:space="preserve">  1. Attribution by Model — how attributed revenue per channel changes across 4 models.</t>
  </si>
  <si>
    <t xml:space="preserve">  2. Current State — actual monthly spend and linear-attribution ROAS per channel today.</t>
  </si>
  <si>
    <t xml:space="preserve">  3. Budget What-If — EDIT the yellow % Reallocation cells to test a new budget mix.</t>
  </si>
  <si>
    <t xml:space="preserve">     The model auto-checks that reallocation is budget-neutral (col E flag) and applies</t>
  </si>
  <si>
    <t xml:space="preserve">     a diminishing-returns elasticity factor to channels receiving increased spend, since</t>
  </si>
  <si>
    <t xml:space="preserve">     ROAS realistically declines as more money chases the same audience.</t>
  </si>
  <si>
    <t xml:space="preserve">Color legend:</t>
  </si>
  <si>
    <t xml:space="preserve">  Blue text on yellow fill = editable input cell</t>
  </si>
  <si>
    <t xml:space="preserve">  Black text = formula (recalculates automatically)</t>
  </si>
  <si>
    <t xml:space="preserve">Default scenario loaded: cut Paid Search -10% and Paid Social -10% (both sub-1.0x ROAS</t>
  </si>
  <si>
    <t xml:space="preserve">under linear attribution), fund Organic/Email/Referral +61.1% each -- an exactly</t>
  </si>
  <si>
    <t xml:space="preserve">budget-neutral reallocation (see the guardrail check on the What-If sheet).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</si>
</sst>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\x"/>
    <numFmt numFmtId="167" formatCode="0.00"/>
    <numFmt numFmtId="168" formatCode="0.0%"/>
    <numFmt numFmtId="169" formatCode="\$#,##0;[RED]&quot;-$&quot;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05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color rgb="FF2E4057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51096.09</v>
      </c>
      <c r="C5" s="5" t="n">
        <v>62736.12</v>
      </c>
      <c r="D5" s="5" t="n">
        <v>56342.38</v>
      </c>
      <c r="E5" s="5" t="n">
        <v>53937.4</v>
      </c>
    </row>
    <row r="6" customFormat="false" ht="15" hidden="false" customHeight="false" outlineLevel="0" collapsed="false">
      <c r="A6" s="4" t="s">
        <v>8</v>
      </c>
      <c r="B6" s="5" t="n">
        <v>51937.39</v>
      </c>
      <c r="C6" s="5" t="n">
        <v>53937.94</v>
      </c>
      <c r="D6" s="5" t="n">
        <v>53052.83</v>
      </c>
      <c r="E6" s="5" t="n">
        <v>50098.85</v>
      </c>
    </row>
    <row r="7" customFormat="false" ht="15" hidden="false" customHeight="false" outlineLevel="0" collapsed="false">
      <c r="A7" s="4" t="s">
        <v>9</v>
      </c>
      <c r="B7" s="5" t="n">
        <v>49361.55</v>
      </c>
      <c r="C7" s="5" t="n">
        <v>58628.74</v>
      </c>
      <c r="D7" s="5" t="n">
        <v>53042.87</v>
      </c>
      <c r="E7" s="5" t="n">
        <v>50587.53</v>
      </c>
    </row>
    <row r="8" customFormat="false" ht="15" hidden="false" customHeight="false" outlineLevel="0" collapsed="false">
      <c r="A8" s="4" t="s">
        <v>10</v>
      </c>
      <c r="B8" s="5" t="n">
        <v>47975.99</v>
      </c>
      <c r="C8" s="5" t="n">
        <v>40305.7</v>
      </c>
      <c r="D8" s="5" t="n">
        <v>44997.33</v>
      </c>
      <c r="E8" s="5" t="n">
        <v>42079.49</v>
      </c>
    </row>
    <row r="9" customFormat="false" ht="15" hidden="false" customHeight="false" outlineLevel="0" collapsed="false">
      <c r="A9" s="4" t="s">
        <v>11</v>
      </c>
      <c r="B9" s="5" t="n">
        <v>42873.18</v>
      </c>
      <c r="C9" s="5" t="n">
        <v>27635.7</v>
      </c>
      <c r="D9" s="5" t="n">
        <v>35808.79</v>
      </c>
      <c r="E9" s="5" t="n">
        <v>33640.48</v>
      </c>
    </row>
    <row r="10" customFormat="false" ht="15" hidden="false" customHeight="false" outlineLevel="0" collapsed="false">
      <c r="A10" s="6" t="s">
        <v>12</v>
      </c>
      <c r="B10" s="7" t="n">
        <f aca="false">SUM(B5:B9)</f>
        <v>243244.2</v>
      </c>
      <c r="C10" s="7" t="n">
        <f aca="false">SUM(C5:C9)</f>
        <v>243244.2</v>
      </c>
      <c r="D10" s="7" t="n">
        <f aca="false">SUM(D5:D9)</f>
        <v>243244.2</v>
      </c>
      <c r="E10" s="7" t="n">
        <f aca="false">SUM(E5:E9)</f>
        <v>230343.75</v>
      </c>
    </row>
    <row r="13" customFormat="false" ht="15" hidden="false" customHeight="false" outlineLevel="0" collapsed="false">
      <c r="A13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26.85" hidden="false" customHeight="false" outlineLevel="0" collapsed="false">
      <c r="A4" s="8" t="s">
        <v>2</v>
      </c>
      <c r="B4" s="8" t="s">
        <v>16</v>
      </c>
      <c r="C4" s="8" t="s">
        <v>17</v>
      </c>
      <c r="D4" s="8" t="s">
        <v>18</v>
      </c>
    </row>
    <row r="5" customFormat="false" ht="15" hidden="false" customHeight="false" outlineLevel="0" collapsed="false">
      <c r="A5" s="4" t="s">
        <v>7</v>
      </c>
      <c r="B5" s="5" t="n">
        <v>255101.91</v>
      </c>
      <c r="C5" s="5" t="n">
        <v>56342.38</v>
      </c>
      <c r="D5" s="9" t="n">
        <f aca="false">C5/B5</f>
        <v>0.220862242858158</v>
      </c>
    </row>
    <row r="6" customFormat="false" ht="15" hidden="false" customHeight="false" outlineLevel="0" collapsed="false">
      <c r="A6" s="4" t="s">
        <v>11</v>
      </c>
      <c r="B6" s="5" t="n">
        <v>209141.63</v>
      </c>
      <c r="C6" s="5" t="n">
        <v>35808.79</v>
      </c>
      <c r="D6" s="9" t="n">
        <f aca="false">C6/B6</f>
        <v>0.171217896695173</v>
      </c>
    </row>
    <row r="7" customFormat="false" ht="15" hidden="false" customHeight="false" outlineLevel="0" collapsed="false">
      <c r="A7" s="4" t="s">
        <v>8</v>
      </c>
      <c r="B7" s="5" t="n">
        <v>35491.02</v>
      </c>
      <c r="C7" s="5" t="n">
        <v>53052.83</v>
      </c>
      <c r="D7" s="9" t="n">
        <f aca="false">C7/B7</f>
        <v>1.49482404281421</v>
      </c>
    </row>
    <row r="8" customFormat="false" ht="15" hidden="false" customHeight="false" outlineLevel="0" collapsed="false">
      <c r="A8" s="4" t="s">
        <v>9</v>
      </c>
      <c r="B8" s="5" t="n">
        <v>22847.2</v>
      </c>
      <c r="C8" s="5" t="n">
        <v>53042.87</v>
      </c>
      <c r="D8" s="9" t="n">
        <f aca="false">C8/B8</f>
        <v>2.32163547393116</v>
      </c>
    </row>
    <row r="9" customFormat="false" ht="15" hidden="false" customHeight="false" outlineLevel="0" collapsed="false">
      <c r="A9" s="4" t="s">
        <v>10</v>
      </c>
      <c r="B9" s="5" t="n">
        <v>17678.57</v>
      </c>
      <c r="C9" s="5" t="n">
        <v>44997.33</v>
      </c>
      <c r="D9" s="9" t="n">
        <f aca="false">C9/B9</f>
        <v>2.54530372083262</v>
      </c>
    </row>
    <row r="10" customFormat="false" ht="15" hidden="false" customHeight="false" outlineLevel="0" collapsed="false">
      <c r="A10" s="6" t="s">
        <v>19</v>
      </c>
      <c r="B10" s="7" t="n">
        <f aca="false">SUM(B5:B9)</f>
        <v>540260.33</v>
      </c>
      <c r="C10" s="7" t="n">
        <f aca="false">SUM(C5:C9)</f>
        <v>243244.2</v>
      </c>
      <c r="D10" s="10" t="n">
        <f aca="false">C10/B10</f>
        <v>0.450235167183199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6" t="s">
        <v>22</v>
      </c>
    </row>
    <row r="5" customFormat="false" ht="15" hidden="false" customHeight="false" outlineLevel="0" collapsed="false">
      <c r="A5" s="11" t="s">
        <v>23</v>
      </c>
      <c r="C5" s="12" t="n">
        <v>0.85</v>
      </c>
    </row>
    <row r="8" customFormat="false" ht="30" hidden="false" customHeight="true" outlineLevel="0" collapsed="false">
      <c r="A8" s="8" t="s">
        <v>2</v>
      </c>
      <c r="B8" s="8" t="s">
        <v>24</v>
      </c>
      <c r="C8" s="8" t="s">
        <v>25</v>
      </c>
      <c r="D8" s="8" t="s">
        <v>26</v>
      </c>
      <c r="E8" s="8" t="s">
        <v>27</v>
      </c>
      <c r="F8" s="8" t="s">
        <v>28</v>
      </c>
      <c r="G8" s="8" t="s">
        <v>29</v>
      </c>
      <c r="H8" s="8" t="s">
        <v>30</v>
      </c>
    </row>
    <row r="9" customFormat="false" ht="15" hidden="false" customHeight="false" outlineLevel="0" collapsed="false">
      <c r="A9" s="4" t="s">
        <v>7</v>
      </c>
      <c r="B9" s="5" t="n">
        <f aca="false">'Current State'!B5</f>
        <v>255101.91</v>
      </c>
      <c r="C9" s="13" t="n">
        <v>-0.1</v>
      </c>
      <c r="D9" s="5" t="n">
        <f aca="false">B9*(1+C9)</f>
        <v>229591.719</v>
      </c>
      <c r="E9" s="9" t="n">
        <f aca="false">'Current State'!D5</f>
        <v>0.220862242858158</v>
      </c>
      <c r="F9" s="9" t="n">
        <f aca="false">IF(C9&lt;=0,E9,E9*$C$5)</f>
        <v>0.220862242858158</v>
      </c>
      <c r="G9" s="5" t="n">
        <f aca="false">D9*F9</f>
        <v>50708.142</v>
      </c>
      <c r="H9" s="14" t="n">
        <f aca="false">G9-('Current State'!C5)</f>
        <v>-5634.238</v>
      </c>
    </row>
    <row r="10" customFormat="false" ht="15" hidden="false" customHeight="false" outlineLevel="0" collapsed="false">
      <c r="A10" s="4" t="s">
        <v>11</v>
      </c>
      <c r="B10" s="5" t="n">
        <f aca="false">'Current State'!B6</f>
        <v>209141.63</v>
      </c>
      <c r="C10" s="13" t="n">
        <v>-0.1</v>
      </c>
      <c r="D10" s="5" t="n">
        <f aca="false">B10*(1+C10)</f>
        <v>188227.467</v>
      </c>
      <c r="E10" s="9" t="n">
        <f aca="false">'Current State'!D6</f>
        <v>0.171217896695173</v>
      </c>
      <c r="F10" s="9" t="n">
        <f aca="false">IF(C10&lt;=0,E10,E10*$C$5)</f>
        <v>0.171217896695173</v>
      </c>
      <c r="G10" s="5" t="n">
        <f aca="false">D10*F10</f>
        <v>32227.911</v>
      </c>
      <c r="H10" s="14" t="n">
        <f aca="false">G10-('Current State'!C6)</f>
        <v>-3580.879</v>
      </c>
    </row>
    <row r="11" customFormat="false" ht="15" hidden="false" customHeight="false" outlineLevel="0" collapsed="false">
      <c r="A11" s="4" t="s">
        <v>8</v>
      </c>
      <c r="B11" s="5" t="n">
        <f aca="false">'Current State'!B7</f>
        <v>35491.02</v>
      </c>
      <c r="C11" s="13" t="n">
        <v>0.611</v>
      </c>
      <c r="D11" s="5" t="n">
        <f aca="false">B11*(1+C11)</f>
        <v>57176.03322</v>
      </c>
      <c r="E11" s="9" t="n">
        <f aca="false">'Current State'!D7</f>
        <v>1.49482404281421</v>
      </c>
      <c r="F11" s="9" t="n">
        <f aca="false">IF(C11&lt;=0,E11,E11*$C$5)</f>
        <v>1.27060043639208</v>
      </c>
      <c r="G11" s="5" t="n">
        <f aca="false">D11*F11</f>
        <v>72647.8927605</v>
      </c>
      <c r="H11" s="14" t="n">
        <f aca="false">G11-('Current State'!C7)</f>
        <v>19595.0627605</v>
      </c>
    </row>
    <row r="12" customFormat="false" ht="15" hidden="false" customHeight="false" outlineLevel="0" collapsed="false">
      <c r="A12" s="4" t="s">
        <v>9</v>
      </c>
      <c r="B12" s="5" t="n">
        <f aca="false">'Current State'!B8</f>
        <v>22847.2</v>
      </c>
      <c r="C12" s="13" t="n">
        <v>0.611</v>
      </c>
      <c r="D12" s="5" t="n">
        <f aca="false">B12*(1+C12)</f>
        <v>36806.8392</v>
      </c>
      <c r="E12" s="9" t="n">
        <f aca="false">'Current State'!D8</f>
        <v>2.32163547393116</v>
      </c>
      <c r="F12" s="9" t="n">
        <f aca="false">IF(C12&lt;=0,E12,E12*$C$5)</f>
        <v>1.97339015284149</v>
      </c>
      <c r="G12" s="5" t="n">
        <f aca="false">D12*F12</f>
        <v>72634.2540345</v>
      </c>
      <c r="H12" s="14" t="n">
        <f aca="false">G12-('Current State'!C8)</f>
        <v>19591.3840345</v>
      </c>
    </row>
    <row r="13" customFormat="false" ht="15" hidden="false" customHeight="false" outlineLevel="0" collapsed="false">
      <c r="A13" s="4" t="s">
        <v>10</v>
      </c>
      <c r="B13" s="5" t="n">
        <f aca="false">'Current State'!B9</f>
        <v>17678.57</v>
      </c>
      <c r="C13" s="13" t="n">
        <v>0.611</v>
      </c>
      <c r="D13" s="5" t="n">
        <f aca="false">B13*(1+C13)</f>
        <v>28480.17627</v>
      </c>
      <c r="E13" s="9" t="n">
        <f aca="false">'Current State'!D9</f>
        <v>2.54530372083262</v>
      </c>
      <c r="F13" s="9" t="n">
        <f aca="false">IF(C13&lt;=0,E13,E13*$C$5)</f>
        <v>2.16350816270773</v>
      </c>
      <c r="G13" s="5" t="n">
        <f aca="false">D13*F13</f>
        <v>61617.0938355</v>
      </c>
      <c r="H13" s="14" t="n">
        <f aca="false">G13-('Current State'!C9)</f>
        <v>16619.7638355</v>
      </c>
    </row>
    <row r="14" customFormat="false" ht="15" hidden="false" customHeight="false" outlineLevel="0" collapsed="false">
      <c r="A14" s="6" t="s">
        <v>12</v>
      </c>
      <c r="B14" s="7" t="n">
        <f aca="false">SUM(B9:B13)</f>
        <v>540260.33</v>
      </c>
      <c r="D14" s="7" t="n">
        <f aca="false">SUM(D9:D13)</f>
        <v>540282.23469</v>
      </c>
      <c r="G14" s="7" t="n">
        <f aca="false">SUM(G9:G13)</f>
        <v>289835.2936305</v>
      </c>
      <c r="H14" s="7" t="n">
        <f aca="false">SUM(H9:H13)</f>
        <v>46591.0936305</v>
      </c>
    </row>
    <row r="16" customFormat="false" ht="15" hidden="false" customHeight="false" outlineLevel="0" collapsed="false">
      <c r="A16" s="15" t="s">
        <v>31</v>
      </c>
      <c r="D16" s="16" t="n">
        <f aca="false">D14-B14</f>
        <v>21.9046900001122</v>
      </c>
      <c r="E16" s="17" t="str">
        <f aca="false">IF(ABS(D14-B14)&gt;500,"⚠ Reallocation percentages do not net to ~0 — adjust column C","✓ Budget-neutral")</f>
        <v>✓ Budget-neutral</v>
      </c>
    </row>
    <row r="18" customFormat="false" ht="15" hidden="false" customHeight="false" outlineLevel="0" collapsed="false">
      <c r="A18" s="6" t="s">
        <v>32</v>
      </c>
      <c r="D18" s="18" t="n">
        <f aca="false">H14</f>
        <v>46591.0936305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19"/>
    </row>
    <row r="3" customFormat="false" ht="15" hidden="false" customHeight="false" outlineLevel="0" collapsed="false">
      <c r="A3" s="19" t="s">
        <v>34</v>
      </c>
    </row>
    <row r="4" customFormat="false" ht="15" hidden="false" customHeight="false" outlineLevel="0" collapsed="false">
      <c r="A4" s="19" t="s">
        <v>35</v>
      </c>
    </row>
    <row r="5" customFormat="false" ht="15" hidden="false" customHeight="false" outlineLevel="0" collapsed="false">
      <c r="A5" s="19"/>
    </row>
    <row r="6" customFormat="false" ht="15" hidden="false" customHeight="false" outlineLevel="0" collapsed="false">
      <c r="A6" s="6" t="s">
        <v>36</v>
      </c>
    </row>
    <row r="7" customFormat="false" ht="15" hidden="false" customHeight="false" outlineLevel="0" collapsed="false">
      <c r="A7" s="19" t="s">
        <v>37</v>
      </c>
    </row>
    <row r="8" customFormat="false" ht="15" hidden="false" customHeight="false" outlineLevel="0" collapsed="false">
      <c r="A8" s="19" t="s">
        <v>38</v>
      </c>
    </row>
    <row r="9" customFormat="false" ht="15" hidden="false" customHeight="false" outlineLevel="0" collapsed="false">
      <c r="A9" s="19" t="s">
        <v>39</v>
      </c>
    </row>
    <row r="10" customFormat="false" ht="15" hidden="false" customHeight="false" outlineLevel="0" collapsed="false">
      <c r="A10" s="19" t="s">
        <v>40</v>
      </c>
    </row>
    <row r="11" customFormat="false" ht="15" hidden="false" customHeight="false" outlineLevel="0" collapsed="false">
      <c r="A11" s="19" t="s">
        <v>41</v>
      </c>
    </row>
    <row r="12" customFormat="false" ht="15" hidden="false" customHeight="false" outlineLevel="0" collapsed="false">
      <c r="A12" s="19" t="s">
        <v>42</v>
      </c>
    </row>
    <row r="13" customFormat="false" ht="15" hidden="false" customHeight="false" outlineLevel="0" collapsed="false">
      <c r="A13" s="19"/>
    </row>
    <row r="14" customFormat="false" ht="15" hidden="false" customHeight="false" outlineLevel="0" collapsed="false">
      <c r="A14" s="6" t="s">
        <v>43</v>
      </c>
    </row>
    <row r="15" customFormat="false" ht="15" hidden="false" customHeight="false" outlineLevel="0" collapsed="false">
      <c r="A15" s="19" t="s">
        <v>44</v>
      </c>
    </row>
    <row r="16" customFormat="false" ht="15" hidden="false" customHeight="false" outlineLevel="0" collapsed="false">
      <c r="A16" s="19" t="s">
        <v>45</v>
      </c>
    </row>
    <row r="17" customFormat="false" ht="15" hidden="false" customHeight="false" outlineLevel="0" collapsed="false">
      <c r="A17" s="19"/>
    </row>
    <row r="18" customFormat="false" ht="15" hidden="false" customHeight="false" outlineLevel="0" collapsed="false">
      <c r="A18" s="19" t="s">
        <v>46</v>
      </c>
    </row>
    <row r="19" customFormat="false" ht="15" hidden="false" customHeight="false" outlineLevel="0" collapsed="false">
      <c r="A19" s="19" t="s">
        <v>47</v>
      </c>
    </row>
    <row r="20" customFormat="false" ht="15" hidden="false" customHeight="false" outlineLevel="0" collapsed="false">
      <c r="A20" s="19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2026-08-31T06:00:07Z</dcterms:created>
  <dc:creator>openpyxl</dc:creator>
  <dc:description/>
  <dc:language>en-US</dc:language>
  <cp:lastModifiedBy/>
  <dcterms:modified xsi:type="dcterms:W3CDTF">2026-08-31T06:00:07Z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