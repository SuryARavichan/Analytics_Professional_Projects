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From analysis: sub-issue breakdown for the highest-volume company (Enhanced Recovery Company, LLC) in the #1 debt-collection issue. Source: consumer_complaints.csv (CFPB extract).</t>
        </r>
      </text>
    </comment>
    <comment ref="B7" authorId="0">
      <text>
        <r>
          <rPr>
            <sz val="10"/>
            <rFont val="Arial"/>
            <family val="2"/>
          </rPr>
          <t xml:space="preserve">This company's complaints in the extract ranged 2015-01-01 to 2015-03-15.</t>
        </r>
      </text>
    </comment>
    <comment ref="B14" authorId="0">
      <text>
        <r>
          <rPr>
            <sz val="10"/>
            <rFont val="Arial"/>
            <family val="2"/>
          </rPr>
          <t xml:space="preserve">Illustrative placeholder — covers agent research time, compliance documentation, and dispute handling. Replace with your company's actual complaint-handling cost per unit.</t>
        </r>
      </text>
    </comment>
    <comment ref="B15" authorId="0">
      <text>
        <r>
          <rPr>
            <sz val="10"/>
            <rFont val="Arial"/>
            <family val="2"/>
          </rPr>
          <t xml:space="preserve">Team-estimated, conservative. Validate with a pilot on a sample of accounts before committing to this figure in a real business case.</t>
        </r>
      </text>
    </comment>
    <comment ref="B16" authorId="0">
      <text>
        <r>
          <rPr>
            <sz val="10"/>
            <rFont val="Arial"/>
            <family val="2"/>
          </rPr>
          <t xml:space="preserve">Illustrative placeholder for engineering + vendor data-match integration. Replace with a real estimate from engineering/procurement.</t>
        </r>
      </text>
    </comment>
    <comment ref="B17" authorId="0">
      <text>
        <r>
          <rPr>
            <sz val="10"/>
            <rFont val="Arial"/>
            <family val="2"/>
          </rPr>
          <t xml:space="preserve">Illustrative placeholder — e.g. identity-verification API usage fees.</t>
        </r>
      </text>
    </comment>
  </commentList>
</comments>
</file>

<file path=xl/sharedStrings.xml><?xml version="1.0" encoding="utf-8"?>
<sst xmlns="http://schemas.openxmlformats.org/spreadsheetml/2006/main" count="33" uniqueCount="33">
  <si>
    <t xml:space="preserve">Case 02 — Debt Verification &amp; Dispute Intake: Cost-Benefit Model</t>
  </si>
  <si>
    <t xml:space="preserve">Source data: CFPB Consumer Complaint Database extract — Enhanced Recovery Company LLC, Debt collection product, Jan 1 – Mar 15 2015</t>
  </si>
  <si>
    <t xml:space="preserve">Scoped to the single highest-volume company in the sample as a realistic company-level proxy. Swap in your own employer's ticket volume for a live business case.</t>
  </si>
  <si>
    <t xml:space="preserve">1. OBSERVED SAMPLE DATA  (blue = pulled from the dataset)</t>
  </si>
  <si>
    <t xml:space="preserve">"Debt is not mine" complaints observed in sample window</t>
  </si>
  <si>
    <t xml:space="preserve">Sample window length (days)</t>
  </si>
  <si>
    <t xml:space="preserve">2. ANNUALIZED VOLUME  (formulas)</t>
  </si>
  <si>
    <t xml:space="preserve">Annualization factor (365 / window days)</t>
  </si>
  <si>
    <t xml:space="preserve">Estimated annualized "not mine" complaint volume</t>
  </si>
  <si>
    <t xml:space="preserve">3. COST &amp; IMPACT ASSUMPTIONS  (yellow = edit these for your own business case)</t>
  </si>
  <si>
    <t xml:space="preserve">Fully-loaded cost to process one complaint ($)</t>
  </si>
  <si>
    <t xml:space="preserve">Expected reduction from adding an identity-verification gate</t>
  </si>
  <si>
    <t xml:space="preserve">One-time cost to build the verification step ($)</t>
  </si>
  <si>
    <t xml:space="preserve">Ongoing annual cost to run the verification step ($)</t>
  </si>
  <si>
    <t xml:space="preserve">4. PROJECTED IMPACT  (formulas — recalculates if you change section 3)</t>
  </si>
  <si>
    <t xml:space="preserve">Complaints avoided per year</t>
  </si>
  <si>
    <t xml:space="preserve">Gross annual savings</t>
  </si>
  <si>
    <t xml:space="preserve">Net annual savings (after run cost)</t>
  </si>
  <si>
    <t xml:space="preserve">Payback period (years)</t>
  </si>
  <si>
    <t xml:space="preserve">Payback period (months)</t>
  </si>
  <si>
    <t xml:space="preserve">5. THREE-YEAR NET BENEFIT</t>
  </si>
  <si>
    <t xml:space="preserve">Year 1</t>
  </si>
  <si>
    <t xml:space="preserve">Year 2 + 3 (combined)</t>
  </si>
  <si>
    <t xml:space="preserve">Year 3</t>
  </si>
  <si>
    <t xml:space="preserve">Net benefit</t>
  </si>
  <si>
    <t xml:space="preserve">Cumulative 3-year net benefit</t>
  </si>
  <si>
    <t xml:space="preserve">LEGEND</t>
  </si>
  <si>
    <t xml:space="preserve">Blue text</t>
  </si>
  <si>
    <t xml:space="preserve">Input pulled from the dataset or an editable assumption</t>
  </si>
  <si>
    <t xml:space="preserve">Yellow fill</t>
  </si>
  <si>
    <t xml:space="preserve">Key assumption — edit for your own business case</t>
  </si>
  <si>
    <t xml:space="preserve">Black text</t>
  </si>
  <si>
    <t xml:space="preserve">Formula — recalculates automatically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</si>
</sst>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\$#,##0"/>
    <numFmt numFmtId="168" formatCode="0.0%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AE0"/>
        <bgColor rgb="FFDDD6C7"/>
      </patternFill>
    </fill>
    <fill>
      <patternFill patternType="solid">
        <fgColor rgb="FFFFFF00"/>
        <bgColor rgb="FFFFFF00"/>
      </patternFill>
    </fill>
    <fill>
      <patternFill patternType="solid">
        <fgColor rgb="FF1E2530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6C7"/>
      </left>
      <right style="thin">
        <color rgb="FFDDD6C7"/>
      </right>
      <top style="thin">
        <color rgb="FFDDD6C7"/>
      </top>
      <bottom style="thin">
        <color rgb="FFDDD6C7"/>
      </bottom>
      <diagonal/>
    </border>
    <border diagonalUp="false" diagonalDown="false">
      <left style="thin">
        <color rgb="FFDDD6C7"/>
      </left>
      <right/>
      <top style="thin">
        <color rgb="FFDDD6C7"/>
      </top>
      <bottom style="thin">
        <color rgb="FFDDD6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AE0"/>
      <rgbColor rgb="FFCCFFFF"/>
      <rgbColor rgb="FF660066"/>
      <rgbColor rgb="FFFF8080"/>
      <rgbColor rgb="FF0066CC"/>
      <rgbColor rgb="FFDDD6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2" t="s">
        <v>2</v>
      </c>
      <c r="B3" s="2"/>
      <c r="C3" s="2"/>
    </row>
    <row r="5" customFormat="false" ht="15" hidden="false" customHeight="false" outlineLevel="0" collapsed="false">
      <c r="A5" s="3" t="s">
        <v>3</v>
      </c>
      <c r="B5" s="4"/>
    </row>
    <row r="6" customFormat="false" ht="15" hidden="false" customHeight="false" outlineLevel="0" collapsed="false">
      <c r="A6" s="5" t="s">
        <v>4</v>
      </c>
      <c r="B6" s="6" t="n">
        <v>176</v>
      </c>
    </row>
    <row r="7" customFormat="false" ht="15" hidden="false" customHeight="false" outlineLevel="0" collapsed="false">
      <c r="A7" s="5" t="s">
        <v>5</v>
      </c>
      <c r="B7" s="6" t="n">
        <v>74</v>
      </c>
    </row>
    <row r="9" customFormat="false" ht="15" hidden="false" customHeight="false" outlineLevel="0" collapsed="false">
      <c r="A9" s="3" t="s">
        <v>6</v>
      </c>
      <c r="B9" s="4"/>
    </row>
    <row r="10" customFormat="false" ht="15" hidden="false" customHeight="false" outlineLevel="0" collapsed="false">
      <c r="A10" s="5" t="s">
        <v>7</v>
      </c>
      <c r="B10" s="7" t="n">
        <f aca="false">365/B7</f>
        <v>4.93243243243243</v>
      </c>
    </row>
    <row r="11" customFormat="false" ht="15" hidden="false" customHeight="false" outlineLevel="0" collapsed="false">
      <c r="A11" s="5" t="s">
        <v>8</v>
      </c>
      <c r="B11" s="8" t="n">
        <f aca="false">B6*B10</f>
        <v>868.108108108108</v>
      </c>
    </row>
    <row r="13" customFormat="false" ht="15" hidden="false" customHeight="false" outlineLevel="0" collapsed="false">
      <c r="A13" s="3" t="s">
        <v>9</v>
      </c>
      <c r="B13" s="4"/>
    </row>
    <row r="14" customFormat="false" ht="15" hidden="false" customHeight="false" outlineLevel="0" collapsed="false">
      <c r="A14" s="5" t="s">
        <v>10</v>
      </c>
      <c r="B14" s="9" t="n">
        <v>150</v>
      </c>
    </row>
    <row r="15" customFormat="false" ht="15" hidden="false" customHeight="false" outlineLevel="0" collapsed="false">
      <c r="A15" s="5" t="s">
        <v>11</v>
      </c>
      <c r="B15" s="10" t="n">
        <v>0.4</v>
      </c>
    </row>
    <row r="16" customFormat="false" ht="15" hidden="false" customHeight="false" outlineLevel="0" collapsed="false">
      <c r="A16" s="5" t="s">
        <v>12</v>
      </c>
      <c r="B16" s="9" t="n">
        <v>45000</v>
      </c>
    </row>
    <row r="17" customFormat="false" ht="15" hidden="false" customHeight="false" outlineLevel="0" collapsed="false">
      <c r="A17" s="5" t="s">
        <v>13</v>
      </c>
      <c r="B17" s="9" t="n">
        <v>12000</v>
      </c>
    </row>
    <row r="19" customFormat="false" ht="15" hidden="false" customHeight="false" outlineLevel="0" collapsed="false">
      <c r="A19" s="3" t="s">
        <v>14</v>
      </c>
      <c r="B19" s="4"/>
    </row>
    <row r="20" customFormat="false" ht="15" hidden="false" customHeight="false" outlineLevel="0" collapsed="false">
      <c r="A20" s="5" t="s">
        <v>15</v>
      </c>
      <c r="B20" s="8" t="n">
        <f aca="false">B11*B15</f>
        <v>347.243243243243</v>
      </c>
    </row>
    <row r="21" customFormat="false" ht="15" hidden="false" customHeight="false" outlineLevel="0" collapsed="false">
      <c r="A21" s="5" t="s">
        <v>16</v>
      </c>
      <c r="B21" s="11" t="n">
        <f aca="false">B20*B14</f>
        <v>52086.4864864865</v>
      </c>
    </row>
    <row r="22" customFormat="false" ht="15" hidden="false" customHeight="false" outlineLevel="0" collapsed="false">
      <c r="A22" s="5" t="s">
        <v>17</v>
      </c>
      <c r="B22" s="11" t="n">
        <f aca="false">B21-B17</f>
        <v>40086.4864864865</v>
      </c>
    </row>
    <row r="23" customFormat="false" ht="15" hidden="false" customHeight="false" outlineLevel="0" collapsed="false">
      <c r="A23" s="5" t="s">
        <v>18</v>
      </c>
      <c r="B23" s="7" t="n">
        <f aca="false">B16/B22</f>
        <v>1.12257281553398</v>
      </c>
    </row>
    <row r="24" customFormat="false" ht="15" hidden="false" customHeight="false" outlineLevel="0" collapsed="false">
      <c r="A24" s="5" t="s">
        <v>19</v>
      </c>
      <c r="B24" s="12" t="n">
        <f aca="false">B23*12</f>
        <v>13.4708737864078</v>
      </c>
    </row>
    <row r="26" customFormat="false" ht="15" hidden="false" customHeight="false" outlineLevel="0" collapsed="false">
      <c r="A26" s="3" t="s">
        <v>20</v>
      </c>
      <c r="B26" s="4"/>
    </row>
    <row r="27" customFormat="false" ht="15" hidden="false" customHeight="false" outlineLevel="0" collapsed="false">
      <c r="B27" s="13" t="s">
        <v>21</v>
      </c>
      <c r="C27" s="13" t="s">
        <v>22</v>
      </c>
      <c r="D27" s="14" t="s">
        <v>23</v>
      </c>
    </row>
    <row r="28" customFormat="false" ht="15" hidden="false" customHeight="false" outlineLevel="0" collapsed="false">
      <c r="A28" s="5" t="s">
        <v>24</v>
      </c>
      <c r="B28" s="15" t="n">
        <f aca="false">B22-B16</f>
        <v>-4913.51351351351</v>
      </c>
      <c r="C28" s="15" t="n">
        <f aca="false">B22*2</f>
        <v>80172.972972973</v>
      </c>
    </row>
    <row r="29" customFormat="false" ht="15" hidden="false" customHeight="false" outlineLevel="0" collapsed="false">
      <c r="A29" s="16" t="s">
        <v>25</v>
      </c>
      <c r="B29" s="17" t="n">
        <f aca="false">B28+C28</f>
        <v>75259.4594594595</v>
      </c>
      <c r="C29" s="17"/>
    </row>
    <row r="31" customFormat="false" ht="15" hidden="false" customHeight="false" outlineLevel="0" collapsed="false">
      <c r="A31" s="3" t="s">
        <v>26</v>
      </c>
      <c r="B31" s="4"/>
    </row>
    <row r="32" customFormat="false" ht="15" hidden="false" customHeight="false" outlineLevel="0" collapsed="false">
      <c r="A32" s="5" t="s">
        <v>27</v>
      </c>
      <c r="B32" s="18" t="s">
        <v>28</v>
      </c>
    </row>
    <row r="33" customFormat="false" ht="15" hidden="false" customHeight="false" outlineLevel="0" collapsed="false">
      <c r="A33" s="5" t="s">
        <v>29</v>
      </c>
      <c r="B33" s="18" t="s">
        <v>30</v>
      </c>
    </row>
    <row r="34" customFormat="false" ht="15" hidden="false" customHeight="false" outlineLevel="0" collapsed="false">
      <c r="A34" s="5" t="s">
        <v>31</v>
      </c>
      <c r="B34" s="18" t="s">
        <v>32</v>
      </c>
    </row>
  </sheetData>
  <mergeCells count="4">
    <mergeCell ref="A1:C1"/>
    <mergeCell ref="A2:C2"/>
    <mergeCell ref="A3:C3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2026-09-01T06:32:42Z</dcterms:created>
  <dc:creator>openpyxl</dc:creator>
  <dc:description/>
  <dc:language>en-US</dc:language>
  <cp:lastModifiedBy/>
  <dcterms:modified xsi:type="dcterms:W3CDTF">2026-09-01T06:32:42Z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