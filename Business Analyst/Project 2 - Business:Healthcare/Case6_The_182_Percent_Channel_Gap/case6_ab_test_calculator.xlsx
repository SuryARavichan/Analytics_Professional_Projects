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 Test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Telephone-channel conversion rate observed in the historical data — used as the conservative baseline for planning a future randomized test.</t>
        </r>
      </text>
    </comment>
    <comment ref="B7" authorId="0">
      <text>
        <r>
          <rPr>
            <sz val="10"/>
            <rFont val="Arial"/>
            <family val="2"/>
          </rPr>
          <t xml:space="preserve">The smallest true lift you want the test to reliably catch. Smaller = needs a much bigger sample (see the scenario table below).</t>
        </r>
      </text>
    </comment>
    <comment ref="B8" authorId="0">
      <text>
        <r>
          <rPr>
            <sz val="10"/>
            <rFont val="Arial"/>
            <family val="2"/>
          </rPr>
          <t xml:space="preserve">Standard values: 1.64 for 90% significance, 1.96 for 95%, 2.58 for 99%. Swap in your own if your test uses a different alpha.</t>
        </r>
      </text>
    </comment>
    <comment ref="B9" authorId="0">
      <text>
        <r>
          <rPr>
            <sz val="10"/>
            <rFont val="Arial"/>
            <family val="2"/>
          </rPr>
          <t xml:space="preserve">Standard values: 0.84 for 80% power, 1.04 for 85%, 1.28 for 90%. Higher power needs a bigger sample.</t>
        </r>
      </text>
    </comment>
  </commentList>
</comments>
</file>

<file path=xl/sharedStrings.xml><?xml version="1.0" encoding="utf-8"?>
<sst xmlns="http://schemas.openxmlformats.org/spreadsheetml/2006/main" count="24" uniqueCount="24">
  <si>
    <t xml:space="preserve">Case 06 — A/B Test Sample-Size Calculator</t>
  </si>
  <si>
    <t xml:space="preserve">Seeded with this project's real baseline (telephone-channel conversion rate). Edit any blue/yellow cell — every output recalculates.</t>
  </si>
  <si>
    <t xml:space="preserve">1. BASELINE  (blue = from the observational analysis)</t>
  </si>
  <si>
    <t xml:space="preserve">Baseline conversion rate (lower-converting channel)</t>
  </si>
  <si>
    <t xml:space="preserve">2. TEST DESIGN INPUTS  (yellow = edit for your own test)</t>
  </si>
  <si>
    <t xml:space="preserve">Minimum detectable lift (percentage points)</t>
  </si>
  <si>
    <t xml:space="preserve">Z(alpha/2) for 95% significance, two-sided</t>
  </si>
  <si>
    <t xml:space="preserve">Z(beta) for 80% statistical power</t>
  </si>
  <si>
    <t xml:space="preserve">3. REQUIRED SAMPLE SIZE PER ARM  (formula — two-proportion z-test)</t>
  </si>
  <si>
    <t xml:space="preserve">Target conversion rate (baseline + MDE)</t>
  </si>
  <si>
    <t xml:space="preserve">Required sample size per arm</t>
  </si>
  <si>
    <t xml:space="preserve">Total contacts needed (both arms)</t>
  </si>
  <si>
    <t xml:space="preserve">4. SCENARIO TABLE  (same formula, 3 MDE scenarios — for reference)</t>
  </si>
  <si>
    <t xml:space="preserve">MDE (pp)</t>
  </si>
  <si>
    <t xml:space="preserve">Target rate</t>
  </si>
  <si>
    <t xml:space="preserve">n per arm</t>
  </si>
  <si>
    <t xml:space="preserve">Total contacts</t>
  </si>
  <si>
    <t xml:space="preserve">LEGEND</t>
  </si>
  <si>
    <t xml:space="preserve">Blue text</t>
  </si>
  <si>
    <t xml:space="preserve">From the analysis, or an editable input</t>
  </si>
  <si>
    <t xml:space="preserve">Yellow fill</t>
  </si>
  <si>
    <t xml:space="preserve">Key assumption — edit for your own test design</t>
  </si>
  <si>
    <t xml:space="preserve">Black text</t>
  </si>
  <si>
    <t xml:space="preserve">Formula — recalculates automatically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</si>
</sst>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.00"/>
    <numFmt numFmtId="16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EAE0"/>
        <bgColor rgb="FFDDD6C7"/>
      </patternFill>
    </fill>
    <fill>
      <patternFill patternType="solid">
        <fgColor rgb="FFFFFF00"/>
        <bgColor rgb="FFFFFF00"/>
      </patternFill>
    </fill>
    <fill>
      <patternFill patternType="solid">
        <fgColor rgb="FF1E253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6C7"/>
      </left>
      <right style="thin">
        <color rgb="FFDDD6C7"/>
      </right>
      <top style="thin">
        <color rgb="FFDDD6C7"/>
      </top>
      <bottom style="thin">
        <color rgb="FFDDD6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AE0"/>
      <rgbColor rgb="FFCCFFFF"/>
      <rgbColor rgb="FF660066"/>
      <rgbColor rgb="FFFF8080"/>
      <rgbColor rgb="FF0066CC"/>
      <rgbColor rgb="FFDDD6C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514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</row>
    <row r="5" customFormat="false" ht="15" hidden="false" customHeight="false" outlineLevel="0" collapsed="false">
      <c r="A5" s="5" t="s">
        <v>3</v>
      </c>
      <c r="B5" s="6" t="n">
        <v>0.0523</v>
      </c>
    </row>
    <row r="6" customFormat="false" ht="15" hidden="false" customHeight="false" outlineLevel="0" collapsed="false">
      <c r="A6" s="3" t="s">
        <v>4</v>
      </c>
      <c r="B6" s="4"/>
      <c r="C6" s="4"/>
      <c r="D6" s="4"/>
      <c r="E6" s="4"/>
    </row>
    <row r="7" customFormat="false" ht="15" hidden="false" customHeight="false" outlineLevel="0" collapsed="false">
      <c r="A7" s="5" t="s">
        <v>5</v>
      </c>
      <c r="B7" s="7" t="n">
        <v>0.02</v>
      </c>
    </row>
    <row r="8" customFormat="false" ht="15" hidden="false" customHeight="false" outlineLevel="0" collapsed="false">
      <c r="A8" s="5" t="s">
        <v>6</v>
      </c>
      <c r="B8" s="8" t="n">
        <v>1.96</v>
      </c>
    </row>
    <row r="9" customFormat="false" ht="15" hidden="false" customHeight="false" outlineLevel="0" collapsed="false">
      <c r="A9" s="5" t="s">
        <v>7</v>
      </c>
      <c r="B9" s="8" t="n">
        <v>0.84</v>
      </c>
    </row>
    <row r="11" customFormat="false" ht="15" hidden="false" customHeight="false" outlineLevel="0" collapsed="false">
      <c r="A11" s="3" t="s">
        <v>8</v>
      </c>
      <c r="B11" s="4"/>
      <c r="C11" s="4"/>
      <c r="D11" s="4"/>
      <c r="E11" s="4"/>
    </row>
    <row r="12" customFormat="false" ht="15" hidden="false" customHeight="false" outlineLevel="0" collapsed="false">
      <c r="A12" s="5" t="s">
        <v>9</v>
      </c>
      <c r="B12" s="9" t="n">
        <f aca="false">B5+B7</f>
        <v>0.0723</v>
      </c>
    </row>
    <row r="13" customFormat="false" ht="15" hidden="false" customHeight="false" outlineLevel="0" collapsed="false">
      <c r="A13" s="10" t="s">
        <v>10</v>
      </c>
      <c r="B13" s="11" t="n">
        <f aca="false">((B8+B9)^2 * (B5*(1-B5) + B12*(1-B12))) / (B12-B5)^2</f>
        <v>2286.093432</v>
      </c>
    </row>
    <row r="14" customFormat="false" ht="15" hidden="false" customHeight="false" outlineLevel="0" collapsed="false">
      <c r="A14" s="10" t="s">
        <v>11</v>
      </c>
      <c r="B14" s="11" t="n">
        <f aca="false">B13*2</f>
        <v>4572.186864</v>
      </c>
    </row>
    <row r="16" customFormat="false" ht="15" hidden="false" customHeight="false" outlineLevel="0" collapsed="false">
      <c r="A16" s="3" t="s">
        <v>12</v>
      </c>
      <c r="B16" s="4"/>
      <c r="C16" s="4"/>
      <c r="D16" s="4"/>
      <c r="E16" s="4"/>
    </row>
    <row r="17" customFormat="false" ht="15" hidden="false" customHeight="false" outlineLevel="0" collapsed="false">
      <c r="A17" s="12" t="s">
        <v>13</v>
      </c>
      <c r="B17" s="12" t="s">
        <v>14</v>
      </c>
      <c r="C17" s="12" t="s">
        <v>15</v>
      </c>
      <c r="D17" s="12" t="s">
        <v>16</v>
      </c>
    </row>
    <row r="18" customFormat="false" ht="15" hidden="false" customHeight="false" outlineLevel="0" collapsed="false">
      <c r="A18" s="13" t="n">
        <v>0.01</v>
      </c>
      <c r="B18" s="13" t="n">
        <f aca="false">B5+A18</f>
        <v>0.0623</v>
      </c>
      <c r="C18" s="14" t="n">
        <f aca="false">((B8+B9)^2 * (B5*(1-B5) + B18*(1-B18))) / (B18-B5)^2</f>
        <v>8465.900128</v>
      </c>
      <c r="D18" s="14" t="n">
        <f aca="false">C18*2</f>
        <v>16931.800256</v>
      </c>
    </row>
    <row r="19" customFormat="false" ht="15" hidden="false" customHeight="false" outlineLevel="0" collapsed="false">
      <c r="A19" s="13" t="n">
        <v>0.02</v>
      </c>
      <c r="B19" s="13" t="n">
        <f aca="false">B5+A19</f>
        <v>0.0723</v>
      </c>
      <c r="C19" s="14" t="n">
        <f aca="false">((B8+B9)^2 * (B5*(1-B5) + B19*(1-B19))) / (B19-B5)^2</f>
        <v>2286.093432</v>
      </c>
      <c r="D19" s="14" t="n">
        <f aca="false">C19*2</f>
        <v>4572.186864</v>
      </c>
    </row>
    <row r="20" customFormat="false" ht="15" hidden="false" customHeight="false" outlineLevel="0" collapsed="false">
      <c r="A20" s="13" t="n">
        <v>0.03</v>
      </c>
      <c r="B20" s="13" t="n">
        <f aca="false">B5+A20</f>
        <v>0.0823</v>
      </c>
      <c r="C20" s="14" t="n">
        <f aca="false">((B8+B9)^2 * (B5*(1-B5) + B20*(1-B20))) / (B20-B5)^2</f>
        <v>1089.68525866667</v>
      </c>
      <c r="D20" s="14" t="n">
        <f aca="false">C20*2</f>
        <v>2179.37051733333</v>
      </c>
    </row>
    <row r="22" customFormat="false" ht="15" hidden="false" customHeight="false" outlineLevel="0" collapsed="false">
      <c r="A22" s="3" t="s">
        <v>17</v>
      </c>
      <c r="B22" s="4"/>
      <c r="C22" s="4"/>
      <c r="D22" s="4"/>
      <c r="E22" s="4"/>
    </row>
    <row r="23" customFormat="false" ht="15" hidden="false" customHeight="false" outlineLevel="0" collapsed="false">
      <c r="A23" s="5" t="s">
        <v>18</v>
      </c>
      <c r="B23" s="5" t="s">
        <v>19</v>
      </c>
    </row>
    <row r="24" customFormat="false" ht="15" hidden="false" customHeight="false" outlineLevel="0" collapsed="false">
      <c r="A24" s="5" t="s">
        <v>20</v>
      </c>
      <c r="B24" s="5" t="s">
        <v>21</v>
      </c>
    </row>
    <row r="25" customFormat="false" ht="15" hidden="false" customHeight="false" outlineLevel="0" collapsed="false">
      <c r="A25" s="5" t="s">
        <v>22</v>
      </c>
      <c r="B25" s="5" t="s">
        <v>23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2026-09-01T08:08:53Z</dcterms:created>
  <dc:creator>openpyxl</dc:creator>
  <dc:description/>
  <dc:language>en-US</dc:language>
  <cp:lastModifiedBy/>
  <dcterms:modified xsi:type="dcterms:W3CDTF">2026-09-01T08:08:53Z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