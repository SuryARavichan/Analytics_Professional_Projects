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Plann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2" authorId="0">
      <text>
        <r>
          <rPr>
            <sz val="10"/>
            <rFont val="Arial"/>
            <family val="2"/>
          </rPr>
          <t xml:space="preserve">From run_analysis.py backtest: std dev of |Actual - Holt-Winters forecast| over the 16-week holdout period.</t>
        </r>
      </text>
    </comment>
    <comment ref="B15" authorId="0">
      <text>
        <r>
          <rPr>
            <sz val="10"/>
            <rFont val="Arial"/>
            <family val="2"/>
          </rPr>
          <t xml:space="preserve">How many weeks ahead this budget/staffing decision is locked in. Increase if your team commits schedules further in advance.</t>
        </r>
      </text>
    </comment>
    <comment ref="B16" authorId="0">
      <text>
        <r>
          <rPr>
            <sz val="10"/>
            <rFont val="Arial"/>
            <family val="2"/>
          </rPr>
          <t xml:space="preserve">Must match a value in the z-score reference table (90%, 95%, 97.5%, 99%). Higher service level = bigger safety buffer, less risk of under-planning.</t>
        </r>
      </text>
    </comment>
  </commentList>
</comments>
</file>

<file path=xl/sharedStrings.xml><?xml version="1.0" encoding="utf-8"?>
<sst xmlns="http://schemas.openxmlformats.org/spreadsheetml/2006/main" count="39" uniqueCount="37">
  <si>
    <t xml:space="preserve">Case 05 — Store 20 Weekly Sales Planning &amp; Safety-Buffer Workbook</t>
  </si>
  <si>
    <t xml:space="preserve">Forecast: Holt-Winters (additive trend + 52-week seasonal), fit on 143 weeks of real Walmart sales data</t>
  </si>
  <si>
    <t xml:space="preserve">1. NEXT 4 WEEKS — HOLT-WINTERS FORECAST  (blue = model output)</t>
  </si>
  <si>
    <t xml:space="preserve">Week starting</t>
  </si>
  <si>
    <t xml:space="preserve">Forecasted sales ($)</t>
  </si>
  <si>
    <t xml:space="preserve">2012-11-02</t>
  </si>
  <si>
    <t xml:space="preserve">2012-11-09</t>
  </si>
  <si>
    <t xml:space="preserve">2012-11-16</t>
  </si>
  <si>
    <t xml:space="preserve">2012-11-23</t>
  </si>
  <si>
    <t xml:space="preserve">2. BACKTESTED FORECAST ACCURACY  (blue = from the 16-week holdout test)</t>
  </si>
  <si>
    <t xml:space="preserve">Std. dev. of forecast error, $ (16-week backtest)</t>
  </si>
  <si>
    <t xml:space="preserve">Backtested MAPE</t>
  </si>
  <si>
    <t xml:space="preserve">3. PLANNING ASSUMPTIONS  (yellow = edit for your own service level / lead time)</t>
  </si>
  <si>
    <t xml:space="preserve">Planning lead time (weeks)</t>
  </si>
  <si>
    <t xml:space="preserve">Desired service level</t>
  </si>
  <si>
    <t xml:space="preserve">95%</t>
  </si>
  <si>
    <t xml:space="preserve">Z-SCORE REFERENCE TABLE</t>
  </si>
  <si>
    <t xml:space="preserve">Service level</t>
  </si>
  <si>
    <t xml:space="preserve">Z-score</t>
  </si>
  <si>
    <t xml:space="preserve">90%</t>
  </si>
  <si>
    <t xml:space="preserve">97.5%</t>
  </si>
  <si>
    <t xml:space="preserve">99%</t>
  </si>
  <si>
    <t xml:space="preserve">4. SAFETY BUFFER &amp; PLANNING BUDGET  (formulas — recalculate automatically)</t>
  </si>
  <si>
    <t xml:space="preserve">Z-score for chosen service level</t>
  </si>
  <si>
    <t xml:space="preserve">Safety buffer ($) = Z × error std dev × √(lead time)</t>
  </si>
  <si>
    <t xml:space="preserve">5. PLANNED BUDGET PER WEEK  (forecast + safety buffer)</t>
  </si>
  <si>
    <t xml:space="preserve">Forecast ($)</t>
  </si>
  <si>
    <t xml:space="preserve">+ Safety buffer</t>
  </si>
  <si>
    <t xml:space="preserve">Planned budget</t>
  </si>
  <si>
    <t xml:space="preserve">4-week total planned budget</t>
  </si>
  <si>
    <t xml:space="preserve">LEGEND</t>
  </si>
  <si>
    <t xml:space="preserve">Blue text</t>
  </si>
  <si>
    <t xml:space="preserve">Model output or editable input</t>
  </si>
  <si>
    <t xml:space="preserve">Yellow fill</t>
  </si>
  <si>
    <t xml:space="preserve">Key assumption — edit for your own planning</t>
  </si>
  <si>
    <t xml:space="preserve">Black text</t>
  </si>
  <si>
    <t xml:space="preserve">Formula — recalculates automatically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</si>
</sst>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%"/>
    <numFmt numFmtId="167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2514E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FEAE0"/>
        <bgColor rgb="FFDDD6C7"/>
      </patternFill>
    </fill>
    <fill>
      <patternFill patternType="solid">
        <fgColor rgb="FF1E2530"/>
        <bgColor rgb="FF33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6C7"/>
      </left>
      <right style="thin">
        <color rgb="FFDDD6C7"/>
      </right>
      <top style="thin">
        <color rgb="FFDDD6C7"/>
      </top>
      <bottom style="thin">
        <color rgb="FFDDD6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EAE0"/>
      <rgbColor rgb="FFCCFFFF"/>
      <rgbColor rgb="FF660066"/>
      <rgbColor rgb="FFFF8080"/>
      <rgbColor rgb="FF0066CC"/>
      <rgbColor rgb="FFDDD6C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514E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25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4"/>
      <c r="C4" s="4"/>
      <c r="D4" s="4"/>
      <c r="E4" s="4"/>
      <c r="F4" s="4"/>
    </row>
    <row r="5" customFormat="false" ht="15" hidden="false" customHeight="false" outlineLevel="0" collapsed="false">
      <c r="A5" s="5" t="s">
        <v>3</v>
      </c>
      <c r="B5" s="5" t="s">
        <v>4</v>
      </c>
    </row>
    <row r="6" customFormat="false" ht="15" hidden="false" customHeight="false" outlineLevel="0" collapsed="false">
      <c r="A6" s="6" t="s">
        <v>5</v>
      </c>
      <c r="B6" s="7" t="n">
        <v>2300774</v>
      </c>
    </row>
    <row r="7" customFormat="false" ht="15" hidden="false" customHeight="false" outlineLevel="0" collapsed="false">
      <c r="A7" s="6" t="s">
        <v>6</v>
      </c>
      <c r="B7" s="7" t="n">
        <v>2301774</v>
      </c>
    </row>
    <row r="8" customFormat="false" ht="15" hidden="false" customHeight="false" outlineLevel="0" collapsed="false">
      <c r="A8" s="6" t="s">
        <v>7</v>
      </c>
      <c r="B8" s="7" t="n">
        <v>2216150</v>
      </c>
    </row>
    <row r="9" customFormat="false" ht="15" hidden="false" customHeight="false" outlineLevel="0" collapsed="false">
      <c r="A9" s="6" t="s">
        <v>8</v>
      </c>
      <c r="B9" s="7" t="n">
        <v>2930164</v>
      </c>
    </row>
    <row r="11" customFormat="false" ht="15" hidden="false" customHeight="false" outlineLevel="0" collapsed="false">
      <c r="A11" s="3" t="s">
        <v>9</v>
      </c>
      <c r="B11" s="4"/>
      <c r="C11" s="4"/>
      <c r="D11" s="4"/>
      <c r="E11" s="4"/>
      <c r="F11" s="4"/>
    </row>
    <row r="12" customFormat="false" ht="15" hidden="false" customHeight="false" outlineLevel="0" collapsed="false">
      <c r="A12" s="8" t="s">
        <v>10</v>
      </c>
      <c r="B12" s="7" t="n">
        <v>53580</v>
      </c>
    </row>
    <row r="13" customFormat="false" ht="15" hidden="false" customHeight="false" outlineLevel="0" collapsed="false">
      <c r="A13" s="8" t="s">
        <v>11</v>
      </c>
      <c r="B13" s="9" t="n">
        <v>0.0237</v>
      </c>
    </row>
    <row r="14" customFormat="false" ht="15" hidden="false" customHeight="false" outlineLevel="0" collapsed="false">
      <c r="A14" s="3" t="s">
        <v>12</v>
      </c>
      <c r="B14" s="4"/>
      <c r="C14" s="4"/>
      <c r="D14" s="4"/>
      <c r="E14" s="4"/>
      <c r="F14" s="4"/>
    </row>
    <row r="15" customFormat="false" ht="15" hidden="false" customHeight="false" outlineLevel="0" collapsed="false">
      <c r="A15" s="8" t="s">
        <v>13</v>
      </c>
      <c r="B15" s="10" t="n">
        <v>1</v>
      </c>
    </row>
    <row r="16" customFormat="false" ht="15" hidden="false" customHeight="false" outlineLevel="0" collapsed="false">
      <c r="A16" s="8" t="s">
        <v>14</v>
      </c>
      <c r="B16" s="10" t="s">
        <v>15</v>
      </c>
    </row>
    <row r="18" customFormat="false" ht="15" hidden="false" customHeight="false" outlineLevel="0" collapsed="false">
      <c r="A18" s="3" t="s">
        <v>16</v>
      </c>
      <c r="B18" s="4"/>
      <c r="C18" s="4"/>
      <c r="D18" s="4"/>
      <c r="E18" s="4"/>
      <c r="F18" s="4"/>
    </row>
    <row r="19" customFormat="false" ht="15" hidden="false" customHeight="false" outlineLevel="0" collapsed="false">
      <c r="A19" s="5" t="s">
        <v>17</v>
      </c>
      <c r="B19" s="5" t="s">
        <v>18</v>
      </c>
    </row>
    <row r="20" customFormat="false" ht="15" hidden="false" customHeight="false" outlineLevel="0" collapsed="false">
      <c r="A20" s="8" t="s">
        <v>19</v>
      </c>
      <c r="B20" s="11" t="n">
        <v>1.28</v>
      </c>
    </row>
    <row r="21" customFormat="false" ht="15" hidden="false" customHeight="false" outlineLevel="0" collapsed="false">
      <c r="A21" s="8" t="s">
        <v>15</v>
      </c>
      <c r="B21" s="11" t="n">
        <v>1.65</v>
      </c>
    </row>
    <row r="22" customFormat="false" ht="15" hidden="false" customHeight="false" outlineLevel="0" collapsed="false">
      <c r="A22" s="8" t="s">
        <v>20</v>
      </c>
      <c r="B22" s="11" t="n">
        <v>1.96</v>
      </c>
    </row>
    <row r="23" customFormat="false" ht="15" hidden="false" customHeight="false" outlineLevel="0" collapsed="false">
      <c r="A23" s="8" t="s">
        <v>21</v>
      </c>
      <c r="B23" s="11" t="n">
        <v>2.33</v>
      </c>
    </row>
    <row r="25" customFormat="false" ht="15" hidden="false" customHeight="false" outlineLevel="0" collapsed="false">
      <c r="A25" s="3" t="s">
        <v>22</v>
      </c>
      <c r="B25" s="4"/>
      <c r="C25" s="4"/>
      <c r="D25" s="4"/>
      <c r="E25" s="4"/>
      <c r="F25" s="4"/>
    </row>
    <row r="26" customFormat="false" ht="15" hidden="false" customHeight="false" outlineLevel="0" collapsed="false">
      <c r="A26" s="8" t="s">
        <v>23</v>
      </c>
      <c r="B26" s="12" t="n">
        <f aca="false">INDEX(B20:B23,MATCH(B16,A20:A23,0))</f>
        <v>1.65</v>
      </c>
    </row>
    <row r="27" customFormat="false" ht="15" hidden="false" customHeight="false" outlineLevel="0" collapsed="false">
      <c r="A27" s="8" t="s">
        <v>24</v>
      </c>
      <c r="B27" s="13" t="n">
        <f aca="false">B26*B12*SQRT(B15)</f>
        <v>88407</v>
      </c>
    </row>
    <row r="29" customFormat="false" ht="15" hidden="false" customHeight="false" outlineLevel="0" collapsed="false">
      <c r="A29" s="3" t="s">
        <v>25</v>
      </c>
      <c r="B29" s="4"/>
      <c r="C29" s="4"/>
      <c r="D29" s="4"/>
      <c r="E29" s="4"/>
      <c r="F29" s="4"/>
    </row>
    <row r="30" customFormat="false" ht="15" hidden="false" customHeight="false" outlineLevel="0" collapsed="false">
      <c r="A30" s="5" t="s">
        <v>3</v>
      </c>
      <c r="B30" s="5" t="s">
        <v>26</v>
      </c>
      <c r="C30" s="5" t="s">
        <v>27</v>
      </c>
      <c r="D30" s="5" t="s">
        <v>28</v>
      </c>
    </row>
    <row r="31" customFormat="false" ht="15" hidden="false" customHeight="false" outlineLevel="0" collapsed="false">
      <c r="A31" s="8" t="str">
        <f aca="false">A6</f>
        <v>2012-11-02</v>
      </c>
      <c r="B31" s="14" t="n">
        <f aca="false">B6</f>
        <v>2300774</v>
      </c>
      <c r="C31" s="14" t="n">
        <f aca="false">$B$27</f>
        <v>88407</v>
      </c>
      <c r="D31" s="15" t="n">
        <f aca="false">B31+C31</f>
        <v>2389181</v>
      </c>
    </row>
    <row r="32" customFormat="false" ht="15" hidden="false" customHeight="false" outlineLevel="0" collapsed="false">
      <c r="A32" s="8" t="str">
        <f aca="false">A7</f>
        <v>2012-11-09</v>
      </c>
      <c r="B32" s="14" t="n">
        <f aca="false">B7</f>
        <v>2301774</v>
      </c>
      <c r="C32" s="14" t="n">
        <f aca="false">$B$27</f>
        <v>88407</v>
      </c>
      <c r="D32" s="15" t="n">
        <f aca="false">B32+C32</f>
        <v>2390181</v>
      </c>
    </row>
    <row r="33" customFormat="false" ht="15" hidden="false" customHeight="false" outlineLevel="0" collapsed="false">
      <c r="A33" s="8" t="str">
        <f aca="false">A8</f>
        <v>2012-11-16</v>
      </c>
      <c r="B33" s="14" t="n">
        <f aca="false">B8</f>
        <v>2216150</v>
      </c>
      <c r="C33" s="14" t="n">
        <f aca="false">$B$27</f>
        <v>88407</v>
      </c>
      <c r="D33" s="15" t="n">
        <f aca="false">B33+C33</f>
        <v>2304557</v>
      </c>
    </row>
    <row r="34" customFormat="false" ht="15" hidden="false" customHeight="false" outlineLevel="0" collapsed="false">
      <c r="A34" s="8" t="str">
        <f aca="false">A9</f>
        <v>2012-11-23</v>
      </c>
      <c r="B34" s="14" t="n">
        <f aca="false">B9</f>
        <v>2930164</v>
      </c>
      <c r="C34" s="14" t="n">
        <f aca="false">$B$27</f>
        <v>88407</v>
      </c>
      <c r="D34" s="15" t="n">
        <f aca="false">B34+C34</f>
        <v>3018571</v>
      </c>
    </row>
    <row r="35" customFormat="false" ht="15" hidden="false" customHeight="false" outlineLevel="0" collapsed="false">
      <c r="A35" s="16" t="s">
        <v>29</v>
      </c>
      <c r="D35" s="15" t="n">
        <f aca="false">SUM(D31:D34)</f>
        <v>10102490</v>
      </c>
    </row>
    <row r="37" customFormat="false" ht="15" hidden="false" customHeight="false" outlineLevel="0" collapsed="false">
      <c r="A37" s="3" t="s">
        <v>30</v>
      </c>
      <c r="B37" s="4"/>
      <c r="C37" s="4"/>
      <c r="D37" s="4"/>
      <c r="E37" s="4"/>
      <c r="F37" s="4"/>
    </row>
    <row r="38" customFormat="false" ht="15" hidden="false" customHeight="false" outlineLevel="0" collapsed="false">
      <c r="A38" s="8" t="s">
        <v>31</v>
      </c>
      <c r="B38" s="8" t="s">
        <v>32</v>
      </c>
    </row>
    <row r="39" customFormat="false" ht="15" hidden="false" customHeight="false" outlineLevel="0" collapsed="false">
      <c r="A39" s="8" t="s">
        <v>33</v>
      </c>
      <c r="B39" s="8" t="s">
        <v>34</v>
      </c>
    </row>
    <row r="40" customFormat="false" ht="15" hidden="false" customHeight="false" outlineLevel="0" collapsed="false">
      <c r="A40" s="8" t="s">
        <v>35</v>
      </c>
      <c r="B40" s="8" t="s">
        <v>36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2026-09-01T08:06:25Z</dcterms:created>
  <dc:creator>openpyxl</dc:creator>
  <dc:description/>
  <dc:language>en-US</dc:language>
  <cp:lastModifiedBy/>
  <dcterms:modified xsi:type="dcterms:W3CDTF">2026-09-01T08:06:25Z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